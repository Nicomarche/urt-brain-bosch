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13_ncr:1_{41E070FA-9B6E-4117-B85A-364CE2D06A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_table" sheetId="1" r:id="rId1"/>
    <sheet name="Plan_Details" sheetId="2" r:id="rId2"/>
  </sheets>
  <definedNames>
    <definedName name="_23_november">Time_table!#REF!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1" l="1"/>
  <c r="AB1" i="1" s="1"/>
  <c r="AC1" i="1" s="1"/>
  <c r="AD1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</calcChain>
</file>

<file path=xl/sharedStrings.xml><?xml version="1.0" encoding="utf-8"?>
<sst xmlns="http://schemas.openxmlformats.org/spreadsheetml/2006/main" count="233" uniqueCount="217">
  <si>
    <t>Working Weeks</t>
  </si>
  <si>
    <t>Base infrastructure &amp; I/O
(Brain + Nucleo)</t>
  </si>
  <si>
    <t>Project Plan – BFMC Brain (URT)
Platform: Raspberry Pi 5 / Jetson Orin Nano + STM32 NUCLEO
Repo: urt-brain-bosch
Current status:
• Local YOLO perception + lane keeping operational
• Stanley control, dashboard, serial link, and V2X modules integrated
• Traffic signs, traffic lights, and parking FSM implemented
Current focus:
• Reliability, latency, and edge-case tuning
• Final competition validation on full-track scenarios</t>
  </si>
  <si>
    <t>Camera pipeline: capture, streaming, preprocessing, ROI definition</t>
  </si>
  <si>
    <t>Serial handler (STM32) + IMU integration + motor/steering control; system services (autostart) + Wi‑Fi fallback</t>
  </si>
  <si>
    <t>BFMC</t>
  </si>
  <si>
    <t>Gateway + state machine: message routing, operation modes, dashboard controls, traffic/semaphore communications</t>
  </si>
  <si>
    <t>Robustness for lighting changes: HSV calibration, exposure checks, regression tests</t>
  </si>
  <si>
    <t>Refactors &amp; performance optimizations</t>
  </si>
  <si>
    <t>Vision &amp; perception</t>
  </si>
  <si>
    <t>Lane detection (OpenCV): BEV + sliding window + centerline</t>
  </si>
  <si>
    <t>Lane-following tuning: curves, lookahead, speed reduction on bends</t>
  </si>
  <si>
    <t>Traffic sign detection &amp; reactions</t>
  </si>
  <si>
    <t>Traffic light state handling</t>
  </si>
  <si>
    <t>Obstacle &amp; pedestrian handling</t>
  </si>
  <si>
    <t>Intersection / road-type handling</t>
  </si>
  <si>
    <t>YOLO local perception: classes, masks, detections</t>
  </si>
  <si>
    <t>Detection tuning &amp; validation</t>
  </si>
  <si>
    <t>Traffic server + semaphores integration</t>
  </si>
  <si>
    <t>Other optimizations</t>
  </si>
  <si>
    <t>Decision making &amp; planning</t>
  </si>
  <si>
    <t>System architecture: processes/threads, state machine, topic routing, dashboard API</t>
  </si>
  <si>
    <t>Behavior planning: priorities, rules, maneuver sequencing</t>
  </si>
  <si>
    <t>Safety &amp; fail-safes: serial timeout, emergency stop, speed limits per context</t>
  </si>
  <si>
    <t>State-driven actions: stop, crosswalk, priority, parking, lights</t>
  </si>
  <si>
    <t>Robustness tests: lost frames, bad masks, wrong detections, recovery strategies</t>
  </si>
  <si>
    <t>Other functionalities</t>
  </si>
  <si>
    <t>Vehicle control</t>
  </si>
  <si>
    <t>PID steering + speed control; smoothing + limits; curve speed adaptation</t>
  </si>
  <si>
    <t>Implemented: stop, crosswalk, traffic-light response, parking</t>
  </si>
  <si>
    <t>Next: obstacle avoidance, roundabout handling, rerouting</t>
  </si>
  <si>
    <t>Integration &amp; deliverables</t>
  </si>
  <si>
    <t>Demonstrate: manual control + autonomous mode, dashboard monitoring, and stable on-device services.</t>
  </si>
  <si>
    <t>Stable lane keeping + local perception integrated on the vehicle</t>
  </si>
  <si>
    <t>Qualification-ready behavior set with core traffic-rule compliance</t>
  </si>
  <si>
    <t>End-to-end V2X loop: traffic server + semaphore state + actions</t>
  </si>
  <si>
    <t>Competition-ready: optimize latency, edge cases, logging, and repeatable test runs</t>
  </si>
  <si>
    <t>Build/maintain a physical testing track + lighting scenarios</t>
  </si>
  <si>
    <t>Parallel development workflow: modular tests + CI checks + logging</t>
  </si>
  <si>
    <t>Simulation / virtual testing environment (Gazebo or lightweight replays)</t>
  </si>
  <si>
    <t>Final optimizations</t>
  </si>
  <si>
    <t>Deadlines</t>
  </si>
  <si>
    <t>Checkpoint</t>
  </si>
  <si>
    <t>Status 1</t>
  </si>
  <si>
    <t>Christmas brake</t>
  </si>
  <si>
    <t>Status 2</t>
  </si>
  <si>
    <t>Qualification</t>
  </si>
  <si>
    <t>Status 3</t>
  </si>
  <si>
    <t>Testing day 1</t>
  </si>
  <si>
    <t>Testing day 2</t>
  </si>
  <si>
    <t>Testing day 3</t>
  </si>
  <si>
    <t>Semi-finals</t>
  </si>
  <si>
    <t>Final</t>
  </si>
  <si>
    <t>Project Plan - BFMC Brain (URT)</t>
  </si>
  <si>
    <t>General Information</t>
  </si>
  <si>
    <t>Project</t>
  </si>
  <si>
    <t>Bosch Future Mobility Challenge - Autonomous Driving Brain</t>
  </si>
  <si>
    <t>Team</t>
  </si>
  <si>
    <t>URT (Universidad Rafael Urdaneta)</t>
  </si>
  <si>
    <t>Platform</t>
  </si>
  <si>
    <t>Raspberry Pi 5 / Jetson Orin Nano + STM32 NUCLEO</t>
  </si>
  <si>
    <t>Repository</t>
  </si>
  <si>
    <t>urt-brain-bosch</t>
  </si>
  <si>
    <t>Project Description</t>
  </si>
  <si>
    <t>Summary</t>
  </si>
  <si>
    <t>Autonomous driving brain for the BFMC scale vehicle, combining local YOLO perception, Stanley-based lane control, STM32 serial actuation, V2X traffic/semaphore communication, parking maneuvers, and web dashboard monitoring.</t>
  </si>
  <si>
    <t>System Architecture Snapshot</t>
  </si>
  <si>
    <t>Hardware components</t>
  </si>
  <si>
    <t>Raspberry Pi 5 / Jetson Orin Nano (main processing)
STM32 NUCLEO (motor / steering / IMU / encoder bridge)
IMX219 CSI or USB camera
Servo + DC motor drivetrain
Onboard dashboard + traffic communication stack</t>
  </si>
  <si>
    <t>Software Modules</t>
  </si>
  <si>
    <t>Module</t>
  </si>
  <si>
    <t>Location</t>
  </si>
  <si>
    <t>Function</t>
  </si>
  <si>
    <t>Main</t>
  </si>
  <si>
    <t>main.py</t>
  </si>
  <si>
    <t>Entry point and process orchestration</t>
  </si>
  <si>
    <t>Camera</t>
  </si>
  <si>
    <t>src/hardware/camera/</t>
  </si>
  <si>
    <t>Frame capture, local perception, lane following</t>
  </si>
  <si>
    <t>Serial Handler</t>
  </si>
  <si>
    <t>src/hardware/serialhandler/</t>
  </si>
  <si>
    <t>Serial I/O with NUCLEO and actuator commands</t>
  </si>
  <si>
    <t>Gateway</t>
  </si>
  <si>
    <t>src/gateway/</t>
  </si>
  <si>
    <t>Queue / pipe routing between processes</t>
  </si>
  <si>
    <t>State Machine</t>
  </si>
  <si>
    <t>src/statemachine/</t>
  </si>
  <si>
    <t>Mode transitions and shared system state</t>
  </si>
  <si>
    <t>Dashboard</t>
  </si>
  <si>
    <t>src/dashboard/</t>
  </si>
  <si>
    <t>Flask + Socket.IO backend and Angular frontend</t>
  </si>
  <si>
    <t>Traffic Comm</t>
  </si>
  <si>
    <t>src/data/TrafficCommunication/</t>
  </si>
  <si>
    <t>Competition traffic server communication</t>
  </si>
  <si>
    <t>Semaphores</t>
  </si>
  <si>
    <t>src/data/Semaphores/</t>
  </si>
  <si>
    <t>Smart traffic-light / semaphore reception</t>
  </si>
  <si>
    <t>Implemented Features</t>
  </si>
  <si>
    <t>Completed</t>
  </si>
  <si>
    <t>• Multiprocess + multithread runtime running on the vehicle
• Camera capture, local YOLO perception, and autonomous lane keeping
• Stanley steering controller + speed scheduling
• Serial read/write with NUCLEO (IMU, speed, steer, battery)
• Dashboard backend/frontend + manual and automatic modes
• Traffic sign and traffic light reactions
• Parallel parking FSM and sign-action handling
• Traffic communication + semaphore integration
• Autostart services, logging, and calibration utilities</t>
  </si>
  <si>
    <t>In progress</t>
  </si>
  <si>
    <t>• Full-track robustness tuning and latency optimization
• Edge-case validation for intersections, obstacles, and lighting changes
• Competition-oriented testing, recovery behavior, and repeatability</t>
  </si>
  <si>
    <t>Pending</t>
  </si>
  <si>
    <t>• Final route-planning polish and competition-scenario validation
• More regression tests and performance optimization</t>
  </si>
  <si>
    <t>Project Phases</t>
  </si>
  <si>
    <t>Phase</t>
  </si>
  <si>
    <t>Scope</t>
  </si>
  <si>
    <t>Status</t>
  </si>
  <si>
    <t>Phase 1: Core Infrastructure</t>
  </si>
  <si>
    <t>Main process, serial link, dashboard, state machine, services</t>
  </si>
  <si>
    <t>COMPLETED</t>
  </si>
  <si>
    <t>Phase 2: Local Perception &amp; Lane Keeping</t>
  </si>
  <si>
    <t>Camera capture, YOLO lanes/signs, Stanley control</t>
  </si>
  <si>
    <t>Phase 3: Behavior Execution</t>
  </si>
  <si>
    <t>Sign actions, traffic-light response, parking FSM, safety rules</t>
  </si>
  <si>
    <t>Phase 4: Competition Integration</t>
  </si>
  <si>
    <t>Traffic server, semaphores, end-to-end runtime robustness</t>
  </si>
  <si>
    <t>IN PROGRESS</t>
  </si>
  <si>
    <t>Phase 5: Final Validation</t>
  </si>
  <si>
    <t>Full-track testing, optimization, edge cases, finals preparation</t>
  </si>
  <si>
    <t>Current System Parameters</t>
  </si>
  <si>
    <t>Control &amp; Lane Following</t>
  </si>
  <si>
    <t>Parameter</t>
  </si>
  <si>
    <t>Value</t>
  </si>
  <si>
    <t>Description</t>
  </si>
  <si>
    <t>max_steering</t>
  </si>
  <si>
    <t>±25°</t>
  </si>
  <si>
    <t>Maximum steering command</t>
  </si>
  <si>
    <t>stanley_k</t>
  </si>
  <si>
    <t>2.5</t>
  </si>
  <si>
    <t>Crosstrack gain</t>
  </si>
  <si>
    <t>stanley_k_soft</t>
  </si>
  <si>
    <t>3.0</t>
  </si>
  <si>
    <t>Low-speed softening</t>
  </si>
  <si>
    <t>stanley_k_d_steer</t>
  </si>
  <si>
    <t>0.10</t>
  </si>
  <si>
    <t>Steering damping</t>
  </si>
  <si>
    <t>steer_history_len</t>
  </si>
  <si>
    <t>2</t>
  </si>
  <si>
    <t>Steering smoothing history</t>
  </si>
  <si>
    <t>noise_max_steer_jump_deg</t>
  </si>
  <si>
    <t>15°</t>
  </si>
  <si>
    <t>Maximum accepted jump before rejection</t>
  </si>
  <si>
    <t>lf_min_speed</t>
  </si>
  <si>
    <t>10</t>
  </si>
  <si>
    <t>Normal minimum speed</t>
  </si>
  <si>
    <t>lf_max_speed</t>
  </si>
  <si>
    <t>15</t>
  </si>
  <si>
    <t>Normal maximum speed</t>
  </si>
  <si>
    <t>Local Perception</t>
  </si>
  <si>
    <t>model</t>
  </si>
  <si>
    <t>Best_weights_reentrenado_416px.engine</t>
  </si>
  <si>
    <t>Primary TensorRT model</t>
  </si>
  <si>
    <t>input_size</t>
  </si>
  <si>
    <t>416</t>
  </si>
  <si>
    <t>Model input size</t>
  </si>
  <si>
    <t>min_confidence</t>
  </si>
  <si>
    <t>0.35</t>
  </si>
  <si>
    <t>General detection threshold</t>
  </si>
  <si>
    <t>sign_min_confidence</t>
  </si>
  <si>
    <t>0.55</t>
  </si>
  <si>
    <t>Traffic-sign threshold</t>
  </si>
  <si>
    <t>Fallback / Auxiliary Modules</t>
  </si>
  <si>
    <t>LSTR fallback</t>
  </si>
  <si>
    <t>ONNX / OpenVINO lane detector</t>
  </si>
  <si>
    <t>OpenCV fallback</t>
  </si>
  <si>
    <t>HSV + Canny + Hough lane pipeline</t>
  </si>
  <si>
    <t>Known Issues and Solutions</t>
  </si>
  <si>
    <t>Current Reliability Notes</t>
  </si>
  <si>
    <t>Issue</t>
  </si>
  <si>
    <t>Cause</t>
  </si>
  <si>
    <t>Solution</t>
  </si>
  <si>
    <t>Lighting-sensitive scenes</t>
  </si>
  <si>
    <t>Rapid illumination changes</t>
  </si>
  <si>
    <t>Recheck exposure / HSV and validate masks</t>
  </si>
  <si>
    <t>Sudden steering jumps</t>
  </si>
  <si>
    <t>Noisy lane detections</t>
  </si>
  <si>
    <t>Use noise filter + steer history smoothing</t>
  </si>
  <si>
    <t>Missed signs / lights</t>
  </si>
  <si>
    <t>Thresholds or crop mismatch</t>
  </si>
  <si>
    <t>Tune confidence thresholds and input framing</t>
  </si>
  <si>
    <t>Serial reconnection needed</t>
  </si>
  <si>
    <t>USB /dev/ttyACM reset</t>
  </si>
  <si>
    <t>Restart serial handler and check the cable</t>
  </si>
  <si>
    <t>General System</t>
  </si>
  <si>
    <t>Dashboard unavailable</t>
  </si>
  <si>
    <t>Backend / frontend service down</t>
  </si>
  <si>
    <t>Restart dashboard services</t>
  </si>
  <si>
    <t>AI FPS drops</t>
  </si>
  <si>
    <t>Heavy model or CPU fallback</t>
  </si>
  <si>
    <t>Prefer TensorRT / disable extra debug windows</t>
  </si>
  <si>
    <t>V2X data missing</t>
  </si>
  <si>
    <t>Traffic or semaphore link offline</t>
  </si>
  <si>
    <t>Check UDP/TCP connectivity and keys</t>
  </si>
  <si>
    <t>Useful Commands</t>
  </si>
  <si>
    <t>Start brain</t>
  </si>
  <si>
    <t>cd /home/pi/Documents/urt-brain-bosch
python3 main.py</t>
  </si>
  <si>
    <t>Start frontend</t>
  </si>
  <si>
    <t>cd src/dashboard/frontend
ng serve --host 0.0.0.0</t>
  </si>
  <si>
    <t>View services</t>
  </si>
  <si>
    <t>journalctl -u brain-autostart -f
journalctl -u angular-autostart -f</t>
  </si>
  <si>
    <t>Restart services</t>
  </si>
  <si>
    <t>sudo systemctl restart brain-autostart
sudo systemctl restart angular-autostart</t>
  </si>
  <si>
    <t>Key File Structure</t>
  </si>
  <si>
    <t>Repository tree (excerpt)</t>
  </si>
  <si>
    <t>urt-brain-bosch/
├── main.py
├── config.py
├── src/
│   ├── hardware/camera/
│   ├── hardware/serialhandler/
│   ├── statemachine/
│   ├── gateway/
│   ├── dashboard/
│   └── data/
├── models/
├── services/
├── tests/
└── calibration/</t>
  </si>
  <si>
    <t>Change History</t>
  </si>
  <si>
    <t>Date</t>
  </si>
  <si>
    <t>Change</t>
  </si>
  <si>
    <t>Author</t>
  </si>
  <si>
    <t>2026-03-09</t>
  </si>
  <si>
    <t>Updated project plan from current architecture snapshot</t>
  </si>
  <si>
    <t>-</t>
  </si>
  <si>
    <t>Added YOLO perception, Stanley control, parking FSM, and V2X status</t>
  </si>
  <si>
    <t>Updated competition milestones and event dates</t>
  </si>
  <si>
    <t>Refreshed modules, parameters, and reliability notes</t>
  </si>
  <si>
    <t>Intersection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</si>
</sst>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8]d\-mmm;@"/>
  </numFmts>
  <fonts count="9" x14ac:knownFonts="1">
    <font>
      <sz val="10"/>
      <color theme="1"/>
      <name val="Arial"/>
      <family val="2"/>
    </font>
    <font>
      <sz val="10"/>
      <color rgb="FF9C0006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FFFF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0"/>
      </patternFill>
    </fill>
    <fill>
      <patternFill patternType="solid">
        <fgColor rgb="FF00B0F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1F4E79"/>
      </patternFill>
    </fill>
    <fill>
      <patternFill patternType="solid">
        <fgColor rgb="FF4F81BD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0"/>
  </cellStyleXfs>
  <cellXfs count="132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/>
    <xf numFmtId="0" fontId="0" fillId="0" borderId="13" xfId="0" applyBorder="1"/>
    <xf numFmtId="0" fontId="0" fillId="0" borderId="14" xfId="0" applyBorder="1"/>
    <xf numFmtId="0" fontId="2" fillId="0" borderId="15" xfId="0" applyFont="1" applyBorder="1"/>
    <xf numFmtId="0" fontId="0" fillId="4" borderId="14" xfId="0" applyFill="1" applyBorder="1"/>
    <xf numFmtId="0" fontId="0" fillId="5" borderId="14" xfId="0" applyFill="1" applyBorder="1"/>
    <xf numFmtId="0" fontId="0" fillId="6" borderId="14" xfId="0" applyFill="1" applyBorder="1"/>
    <xf numFmtId="0" fontId="0" fillId="0" borderId="0" xfId="0" applyAlignment="1">
      <alignment horizontal="left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0" fillId="7" borderId="14" xfId="0" applyFill="1" applyBorder="1"/>
    <xf numFmtId="0" fontId="0" fillId="3" borderId="14" xfId="0" applyFill="1" applyBorder="1"/>
    <xf numFmtId="164" fontId="0" fillId="4" borderId="12" xfId="0" applyNumberFormat="1" applyFill="1" applyBorder="1" applyAlignment="1">
      <alignment wrapText="1"/>
    </xf>
    <xf numFmtId="164" fontId="0" fillId="6" borderId="12" xfId="0" applyNumberFormat="1" applyFill="1" applyBorder="1" applyAlignment="1">
      <alignment wrapText="1"/>
    </xf>
    <xf numFmtId="0" fontId="0" fillId="0" borderId="19" xfId="0" applyBorder="1" applyAlignment="1">
      <alignment wrapText="1"/>
    </xf>
    <xf numFmtId="0" fontId="0" fillId="4" borderId="14" xfId="0" applyFill="1" applyBorder="1" applyAlignment="1">
      <alignment wrapText="1"/>
    </xf>
    <xf numFmtId="0" fontId="0" fillId="6" borderId="14" xfId="0" applyFill="1" applyBorder="1" applyAlignment="1">
      <alignment wrapText="1"/>
    </xf>
    <xf numFmtId="164" fontId="0" fillId="0" borderId="0" xfId="0" applyNumberFormat="1" applyAlignment="1">
      <alignment horizontal="left" vertical="center" wrapText="1"/>
    </xf>
    <xf numFmtId="164" fontId="0" fillId="4" borderId="0" xfId="0" applyNumberFormat="1" applyFill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2" xfId="0" applyFill="1" applyBorder="1"/>
    <xf numFmtId="0" fontId="0" fillId="0" borderId="2" xfId="0" applyBorder="1"/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4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21" xfId="0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164" fontId="0" fillId="3" borderId="0" xfId="0" applyNumberFormat="1" applyFill="1" applyAlignment="1">
      <alignment horizontal="left" vertical="center" wrapText="1"/>
    </xf>
    <xf numFmtId="164" fontId="0" fillId="5" borderId="0" xfId="0" applyNumberFormat="1" applyFill="1" applyAlignment="1">
      <alignment horizontal="left" vertical="center" wrapText="1"/>
    </xf>
    <xf numFmtId="164" fontId="0" fillId="6" borderId="0" xfId="0" applyNumberFormat="1" applyFill="1" applyAlignment="1">
      <alignment horizontal="left" vertical="center" wrapText="1"/>
    </xf>
    <xf numFmtId="164" fontId="0" fillId="4" borderId="1" xfId="0" applyNumberForma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164" fontId="0" fillId="0" borderId="8" xfId="0" applyNumberFormat="1" applyBorder="1" applyAlignment="1">
      <alignment horizontal="left" vertical="center" wrapText="1"/>
    </xf>
    <xf numFmtId="164" fontId="0" fillId="0" borderId="21" xfId="0" applyNumberFormat="1" applyBorder="1" applyAlignment="1">
      <alignment horizontal="left" vertical="center" wrapText="1"/>
    </xf>
    <xf numFmtId="164" fontId="0" fillId="0" borderId="9" xfId="0" applyNumberForma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6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0" fillId="0" borderId="24" xfId="0" applyBorder="1" applyAlignment="1">
      <alignment wrapText="1"/>
    </xf>
    <xf numFmtId="0" fontId="0" fillId="0" borderId="24" xfId="0" applyBorder="1"/>
    <xf numFmtId="0" fontId="0" fillId="5" borderId="24" xfId="0" applyFill="1" applyBorder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0" borderId="22" xfId="0" applyBorder="1" applyAlignment="1">
      <alignment wrapText="1"/>
    </xf>
    <xf numFmtId="16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5" borderId="2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6" borderId="2" xfId="0" applyFill="1" applyBorder="1" applyAlignment="1">
      <alignment wrapText="1"/>
    </xf>
    <xf numFmtId="0" fontId="0" fillId="4" borderId="1" xfId="0" applyFill="1" applyBorder="1"/>
    <xf numFmtId="0" fontId="0" fillId="0" borderId="2" xfId="0" applyBorder="1" applyAlignment="1">
      <alignment horizontal="center" vertical="center" wrapText="1"/>
    </xf>
    <xf numFmtId="0" fontId="0" fillId="0" borderId="9" xfId="0" applyBorder="1"/>
    <xf numFmtId="0" fontId="0" fillId="3" borderId="2" xfId="0" applyFill="1" applyBorder="1" applyAlignment="1">
      <alignment horizontal="center" vertical="center" wrapText="1"/>
    </xf>
    <xf numFmtId="0" fontId="3" fillId="0" borderId="29" xfId="1" applyFont="1" applyFill="1" applyBorder="1" applyAlignment="1">
      <alignment horizontal="center" vertical="center" wrapText="1"/>
    </xf>
    <xf numFmtId="0" fontId="0" fillId="0" borderId="18" xfId="0" applyBorder="1"/>
    <xf numFmtId="0" fontId="6" fillId="0" borderId="38" xfId="0" applyFont="1" applyBorder="1" applyAlignment="1">
      <alignment vertical="top"/>
    </xf>
    <xf numFmtId="0" fontId="7" fillId="0" borderId="38" xfId="0" applyFont="1" applyBorder="1" applyAlignment="1">
      <alignment vertical="top" wrapText="1"/>
    </xf>
    <xf numFmtId="0" fontId="6" fillId="0" borderId="38" xfId="0" applyFont="1" applyBorder="1"/>
    <xf numFmtId="0" fontId="8" fillId="9" borderId="38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16" fontId="0" fillId="4" borderId="12" xfId="0" applyNumberFormat="1" applyFill="1" applyBorder="1" applyAlignment="1">
      <alignment wrapText="1"/>
    </xf>
    <xf numFmtId="16" fontId="0" fillId="6" borderId="12" xfId="0" applyNumberFormat="1" applyFill="1" applyBorder="1" applyAlignment="1">
      <alignment wrapText="1"/>
    </xf>
    <xf numFmtId="16" fontId="0" fillId="0" borderId="12" xfId="1" applyNumberFormat="1" applyFont="1" applyFill="1" applyBorder="1" applyAlignment="1">
      <alignment wrapText="1"/>
    </xf>
    <xf numFmtId="164" fontId="0" fillId="0" borderId="4" xfId="0" applyNumberFormat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164" fontId="0" fillId="5" borderId="4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3" fillId="0" borderId="29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8" xfId="0" applyBorder="1"/>
    <xf numFmtId="16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/>
    <xf numFmtId="0" fontId="0" fillId="0" borderId="3" xfId="0" applyBorder="1" applyAlignment="1">
      <alignment horizontal="center" wrapText="1"/>
    </xf>
    <xf numFmtId="0" fontId="0" fillId="0" borderId="30" xfId="0" applyBorder="1"/>
    <xf numFmtId="0" fontId="0" fillId="0" borderId="31" xfId="0" applyBorder="1"/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0" fillId="0" borderId="23" xfId="0" applyBorder="1" applyAlignment="1">
      <alignment horizontal="center" vertical="center" wrapText="1"/>
    </xf>
    <xf numFmtId="0" fontId="0" fillId="0" borderId="23" xfId="0" applyBorder="1"/>
    <xf numFmtId="0" fontId="0" fillId="0" borderId="0" xfId="0" applyAlignment="1">
      <alignment horizontal="center" vertical="center" wrapText="1"/>
    </xf>
    <xf numFmtId="0" fontId="0" fillId="0" borderId="0" xfId="0"/>
    <xf numFmtId="0" fontId="0" fillId="5" borderId="6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wrapText="1"/>
    </xf>
    <xf numFmtId="0" fontId="0" fillId="0" borderId="34" xfId="0" applyBorder="1"/>
    <xf numFmtId="0" fontId="0" fillId="0" borderId="11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 wrapText="1"/>
    </xf>
    <xf numFmtId="0" fontId="0" fillId="3" borderId="12" xfId="0" applyFill="1" applyBorder="1" applyAlignment="1">
      <alignment horizontal="center" wrapText="1"/>
    </xf>
    <xf numFmtId="0" fontId="0" fillId="0" borderId="35" xfId="0" applyBorder="1"/>
    <xf numFmtId="0" fontId="0" fillId="0" borderId="10" xfId="0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0" fillId="0" borderId="19" xfId="0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164" fontId="0" fillId="0" borderId="3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4" fillId="8" borderId="0" xfId="0" applyFont="1" applyFill="1" applyAlignment="1">
      <alignment horizontal="left" vertical="center"/>
    </xf>
    <xf numFmtId="0" fontId="7" fillId="0" borderId="38" xfId="0" applyFont="1" applyBorder="1" applyAlignment="1">
      <alignment vertical="top" wrapText="1"/>
    </xf>
    <xf numFmtId="0" fontId="0" fillId="0" borderId="39" xfId="0" applyBorder="1"/>
    <xf numFmtId="0" fontId="7" fillId="0" borderId="38" xfId="0" applyFont="1" applyBorder="1" applyAlignment="1">
      <alignment horizontal="center" vertical="top"/>
    </xf>
    <xf numFmtId="0" fontId="0" fillId="0" borderId="40" xfId="0" applyBorder="1"/>
    <xf numFmtId="0" fontId="5" fillId="0" borderId="0" xfId="0" applyFont="1"/>
    <xf numFmtId="0" fontId="7" fillId="0" borderId="38" xfId="0" applyFont="1" applyBorder="1" applyAlignment="1">
      <alignment horizontal="center" vertical="top" wrapText="1"/>
    </xf>
    <xf numFmtId="0" fontId="6" fillId="0" borderId="0" xfId="0" applyFont="1"/>
    <xf numFmtId="0" fontId="8" fillId="9" borderId="38" xfId="0" applyFont="1" applyFill="1" applyBorder="1" applyAlignment="1">
      <alignment horizontal="center" vertical="center" wrapText="1"/>
    </xf>
  </cellXfs>
  <cellStyles count="2">
    <cellStyle name="Bad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6"/>
  <sheetViews>
    <sheetView showGridLines="0" tabSelected="1" topLeftCell="B7" zoomScale="90" workbookViewId="0">
      <selection activeCell="L12" sqref="L12"/>
    </sheetView>
  </sheetViews>
  <sheetFormatPr defaultColWidth="8.81640625" defaultRowHeight="12.5" x14ac:dyDescent="0.25"/>
  <cols>
    <col min="1" max="1" width="39" customWidth="1"/>
    <col min="2" max="2" width="22.1796875" customWidth="1"/>
    <col min="3" max="3" width="7.81640625" customWidth="1"/>
    <col min="4" max="4" width="9.81640625" customWidth="1"/>
    <col min="5" max="5" width="9" customWidth="1"/>
    <col min="6" max="7" width="7.6328125" customWidth="1"/>
    <col min="8" max="8" width="7.1796875" customWidth="1"/>
    <col min="9" max="9" width="6.6328125" customWidth="1"/>
    <col min="10" max="10" width="9.453125" customWidth="1"/>
    <col min="11" max="11" width="7.1796875" customWidth="1"/>
    <col min="12" max="12" width="6.453125" customWidth="1"/>
    <col min="13" max="13" width="7.453125" customWidth="1"/>
    <col min="14" max="14" width="9.36328125" customWidth="1"/>
    <col min="15" max="15" width="7.453125" customWidth="1"/>
    <col min="16" max="16" width="6.81640625" customWidth="1"/>
    <col min="17" max="17" width="7.81640625" customWidth="1"/>
    <col min="18" max="18" width="10.453125" customWidth="1"/>
    <col min="19" max="19" width="7.453125" customWidth="1"/>
    <col min="20" max="20" width="7.81640625" customWidth="1"/>
    <col min="21" max="21" width="8" customWidth="1"/>
    <col min="22" max="22" width="9" customWidth="1"/>
    <col min="23" max="23" width="7.6328125" customWidth="1"/>
    <col min="24" max="24" width="8" customWidth="1"/>
    <col min="25" max="25" width="6.81640625" customWidth="1"/>
    <col min="26" max="30" width="7.1796875" customWidth="1"/>
  </cols>
  <sheetData>
    <row r="1" spans="1:30" ht="13.5" customHeight="1" x14ac:dyDescent="0.25">
      <c r="A1" s="3" t="s">
        <v>0</v>
      </c>
      <c r="B1" s="4">
        <v>1</v>
      </c>
      <c r="C1" s="4">
        <f t="shared" ref="C1:X1" si="0">B1+1</f>
        <v>2</v>
      </c>
      <c r="D1" s="4">
        <f t="shared" si="0"/>
        <v>3</v>
      </c>
      <c r="E1" s="6">
        <f t="shared" si="0"/>
        <v>4</v>
      </c>
      <c r="F1" s="12">
        <f t="shared" si="0"/>
        <v>5</v>
      </c>
      <c r="G1" s="12">
        <f t="shared" si="0"/>
        <v>6</v>
      </c>
      <c r="H1" s="4">
        <f t="shared" si="0"/>
        <v>7</v>
      </c>
      <c r="I1" s="11">
        <f t="shared" si="0"/>
        <v>8</v>
      </c>
      <c r="J1" s="6">
        <f t="shared" si="0"/>
        <v>9</v>
      </c>
      <c r="K1" s="4">
        <f t="shared" si="0"/>
        <v>10</v>
      </c>
      <c r="L1" s="4">
        <f t="shared" si="0"/>
        <v>11</v>
      </c>
      <c r="M1" s="4">
        <f t="shared" si="0"/>
        <v>12</v>
      </c>
      <c r="N1" s="6">
        <f t="shared" si="0"/>
        <v>13</v>
      </c>
      <c r="O1" s="4">
        <f t="shared" si="0"/>
        <v>14</v>
      </c>
      <c r="P1" s="4">
        <f t="shared" si="0"/>
        <v>15</v>
      </c>
      <c r="Q1" s="4">
        <f t="shared" si="0"/>
        <v>16</v>
      </c>
      <c r="R1" s="8">
        <f t="shared" si="0"/>
        <v>17</v>
      </c>
      <c r="S1" s="7">
        <f t="shared" si="0"/>
        <v>18</v>
      </c>
      <c r="T1" s="4">
        <f t="shared" si="0"/>
        <v>19</v>
      </c>
      <c r="U1" s="4">
        <f t="shared" si="0"/>
        <v>20</v>
      </c>
      <c r="V1" s="6">
        <f t="shared" si="0"/>
        <v>21</v>
      </c>
      <c r="W1" s="4">
        <f t="shared" si="0"/>
        <v>22</v>
      </c>
      <c r="X1" s="4">
        <f t="shared" si="0"/>
        <v>23</v>
      </c>
      <c r="Y1" s="4">
        <v>24</v>
      </c>
      <c r="Z1" s="5">
        <v>25</v>
      </c>
      <c r="AA1" s="5">
        <f>Z1+1</f>
        <v>26</v>
      </c>
      <c r="AB1" s="5">
        <f>AA1+1</f>
        <v>27</v>
      </c>
      <c r="AC1" s="5">
        <f>AB1+1</f>
        <v>28</v>
      </c>
      <c r="AD1" s="5">
        <f>AC1+1</f>
        <v>29</v>
      </c>
    </row>
    <row r="2" spans="1:30" ht="42" customHeight="1" x14ac:dyDescent="0.25">
      <c r="A2" s="102" t="s">
        <v>1</v>
      </c>
      <c r="B2" s="120" t="s">
        <v>2</v>
      </c>
      <c r="C2" s="110" t="s">
        <v>3</v>
      </c>
      <c r="D2" s="86"/>
      <c r="E2" s="86"/>
      <c r="F2" s="86"/>
      <c r="G2" s="86"/>
      <c r="H2" s="86"/>
      <c r="I2" s="87"/>
      <c r="J2" s="91" t="s">
        <v>4</v>
      </c>
      <c r="K2" s="86"/>
      <c r="L2" s="86"/>
      <c r="M2" s="86"/>
      <c r="N2" s="86"/>
      <c r="O2" s="86"/>
      <c r="P2" s="86"/>
      <c r="Q2" s="86"/>
      <c r="R2" s="87"/>
      <c r="S2" s="35"/>
      <c r="T2" s="35"/>
      <c r="U2" s="35"/>
      <c r="V2" s="45"/>
      <c r="W2" s="46"/>
      <c r="X2" s="46"/>
      <c r="Y2" s="47"/>
      <c r="Z2" s="88" t="s">
        <v>5</v>
      </c>
      <c r="AA2" s="70"/>
      <c r="AB2" s="70"/>
      <c r="AC2" s="70"/>
      <c r="AD2" s="70"/>
    </row>
    <row r="3" spans="1:30" x14ac:dyDescent="0.25">
      <c r="A3" s="103"/>
      <c r="B3" s="117"/>
      <c r="C3" s="48"/>
      <c r="D3" s="18"/>
      <c r="E3" s="19"/>
      <c r="F3" s="42"/>
      <c r="G3" s="42"/>
      <c r="H3" s="119" t="s">
        <v>6</v>
      </c>
      <c r="I3" s="95"/>
      <c r="J3" s="95"/>
      <c r="K3" s="95"/>
      <c r="L3" s="95"/>
      <c r="M3" s="95"/>
      <c r="N3" s="95"/>
      <c r="O3" s="95"/>
      <c r="P3" s="95"/>
      <c r="Q3" s="95"/>
      <c r="R3" s="96"/>
      <c r="S3" s="43"/>
      <c r="T3" s="18"/>
      <c r="U3" s="18"/>
      <c r="V3" s="19"/>
      <c r="W3" s="18"/>
      <c r="X3" s="18"/>
      <c r="Y3" s="49"/>
      <c r="Z3" s="89"/>
      <c r="AA3" s="68"/>
      <c r="AB3" s="68"/>
      <c r="AC3" s="68"/>
      <c r="AD3" s="68"/>
    </row>
    <row r="4" spans="1:30" ht="26.25" customHeight="1" x14ac:dyDescent="0.25">
      <c r="A4" s="103"/>
      <c r="B4" s="117"/>
      <c r="C4" s="48"/>
      <c r="D4" s="18"/>
      <c r="E4" s="19"/>
      <c r="F4" s="42"/>
      <c r="G4" s="42"/>
      <c r="H4" s="18"/>
      <c r="I4" s="18"/>
      <c r="J4" s="19"/>
      <c r="K4" s="18"/>
      <c r="L4" s="18"/>
      <c r="M4" s="18"/>
      <c r="N4" s="19"/>
      <c r="O4" s="18"/>
      <c r="P4" s="18"/>
      <c r="Q4" s="18"/>
      <c r="R4" s="44"/>
      <c r="S4" s="84" t="s">
        <v>7</v>
      </c>
      <c r="T4" s="82"/>
      <c r="U4" s="82"/>
      <c r="V4" s="83"/>
      <c r="W4" s="81" t="s">
        <v>8</v>
      </c>
      <c r="X4" s="82"/>
      <c r="Y4" s="83"/>
      <c r="Z4" s="89"/>
      <c r="AA4" s="68"/>
      <c r="AB4" s="68"/>
      <c r="AC4" s="68"/>
      <c r="AD4" s="68"/>
    </row>
    <row r="5" spans="1:30" ht="42" customHeight="1" x14ac:dyDescent="0.25">
      <c r="A5" s="92" t="s">
        <v>9</v>
      </c>
      <c r="B5" s="117"/>
      <c r="C5" s="98" t="s">
        <v>10</v>
      </c>
      <c r="D5" s="86"/>
      <c r="E5" s="86"/>
      <c r="F5" s="87"/>
      <c r="G5" s="85" t="s">
        <v>11</v>
      </c>
      <c r="H5" s="86"/>
      <c r="I5" s="86"/>
      <c r="J5" s="87"/>
      <c r="K5" s="85" t="s">
        <v>12</v>
      </c>
      <c r="L5" s="86"/>
      <c r="M5" s="86"/>
      <c r="N5" s="87"/>
      <c r="O5" s="85" t="s">
        <v>13</v>
      </c>
      <c r="P5" s="86"/>
      <c r="Q5" s="86"/>
      <c r="R5" s="87"/>
      <c r="S5" s="35"/>
      <c r="T5" s="35"/>
      <c r="U5" s="35"/>
      <c r="V5" s="66"/>
      <c r="W5" s="36"/>
      <c r="X5" s="36"/>
      <c r="Y5" s="37"/>
      <c r="Z5" s="89"/>
      <c r="AA5" s="68"/>
      <c r="AB5" s="68"/>
      <c r="AC5" s="68"/>
      <c r="AD5" s="68"/>
    </row>
    <row r="6" spans="1:30" ht="42" customHeight="1" x14ac:dyDescent="0.25">
      <c r="A6" s="103"/>
      <c r="B6" s="117"/>
      <c r="C6" s="38"/>
      <c r="D6" s="22"/>
      <c r="E6" s="25"/>
      <c r="F6" s="26"/>
      <c r="G6" s="27"/>
      <c r="H6" s="22"/>
      <c r="I6" s="22"/>
      <c r="J6" s="25"/>
      <c r="K6" s="22"/>
      <c r="L6" s="22"/>
      <c r="M6" s="113" t="s">
        <v>14</v>
      </c>
      <c r="N6" s="114"/>
      <c r="O6" s="114"/>
      <c r="P6" s="114"/>
      <c r="Q6" s="114"/>
      <c r="R6" s="115"/>
      <c r="S6" s="97" t="s">
        <v>15</v>
      </c>
      <c r="T6" s="95"/>
      <c r="U6" s="95"/>
      <c r="V6" s="96"/>
      <c r="W6" s="34"/>
      <c r="X6" s="34"/>
      <c r="Y6" s="39"/>
      <c r="Z6" s="89"/>
      <c r="AA6" s="68"/>
      <c r="AB6" s="68"/>
      <c r="AC6" s="68"/>
      <c r="AD6" s="68"/>
    </row>
    <row r="7" spans="1:30" ht="42" customHeight="1" x14ac:dyDescent="0.25">
      <c r="A7" s="103"/>
      <c r="B7" s="117"/>
      <c r="C7" s="38"/>
      <c r="D7" s="22"/>
      <c r="E7" s="25"/>
      <c r="F7" s="26"/>
      <c r="G7" s="27"/>
      <c r="H7" s="22"/>
      <c r="I7" s="22"/>
      <c r="J7" s="25"/>
      <c r="K7" s="22"/>
      <c r="L7" s="22"/>
      <c r="M7" s="31"/>
      <c r="N7" s="30"/>
      <c r="O7" s="97" t="s">
        <v>16</v>
      </c>
      <c r="P7" s="95"/>
      <c r="Q7" s="95"/>
      <c r="R7" s="96"/>
      <c r="S7" s="97" t="s">
        <v>17</v>
      </c>
      <c r="T7" s="95"/>
      <c r="U7" s="95"/>
      <c r="V7" s="96"/>
      <c r="W7" s="34"/>
      <c r="X7" s="34"/>
      <c r="Y7" s="39"/>
      <c r="Z7" s="89"/>
      <c r="AA7" s="68"/>
      <c r="AB7" s="68"/>
      <c r="AC7" s="68"/>
      <c r="AD7" s="68"/>
    </row>
    <row r="8" spans="1:30" ht="42" customHeight="1" x14ac:dyDescent="0.25">
      <c r="A8" s="103"/>
      <c r="B8" s="117"/>
      <c r="C8" s="38"/>
      <c r="D8" s="22"/>
      <c r="E8" s="25"/>
      <c r="F8" s="26"/>
      <c r="G8" s="27"/>
      <c r="H8" s="22"/>
      <c r="I8" s="22"/>
      <c r="J8" s="25"/>
      <c r="K8" s="22"/>
      <c r="L8" s="22"/>
      <c r="M8" s="31"/>
      <c r="N8" s="30"/>
      <c r="O8" s="97" t="s">
        <v>18</v>
      </c>
      <c r="P8" s="95"/>
      <c r="Q8" s="95"/>
      <c r="R8" s="95"/>
      <c r="S8" s="95"/>
      <c r="T8" s="95"/>
      <c r="U8" s="95"/>
      <c r="V8" s="96"/>
      <c r="W8" s="34"/>
      <c r="X8" s="34"/>
      <c r="Y8" s="39"/>
      <c r="Z8" s="89"/>
      <c r="AA8" s="68"/>
      <c r="AB8" s="68"/>
      <c r="AC8" s="68"/>
      <c r="AD8" s="68"/>
    </row>
    <row r="9" spans="1:30" ht="26.25" customHeight="1" x14ac:dyDescent="0.25">
      <c r="A9" s="93"/>
      <c r="B9" s="117"/>
      <c r="C9" s="50"/>
      <c r="D9" s="9"/>
      <c r="E9" s="57"/>
      <c r="F9" s="29"/>
      <c r="G9" s="29"/>
      <c r="H9" s="9"/>
      <c r="I9" s="9"/>
      <c r="J9" s="30"/>
      <c r="M9" s="22"/>
      <c r="N9" s="25"/>
      <c r="O9" s="22"/>
      <c r="P9" s="22"/>
      <c r="Q9" s="22"/>
      <c r="R9" s="32"/>
      <c r="S9" s="22"/>
      <c r="T9" s="22"/>
      <c r="U9" s="22"/>
      <c r="V9" s="33"/>
      <c r="W9" s="81" t="s">
        <v>19</v>
      </c>
      <c r="X9" s="82"/>
      <c r="Y9" s="83"/>
      <c r="Z9" s="89"/>
      <c r="AA9" s="68"/>
      <c r="AB9" s="68"/>
      <c r="AC9" s="68"/>
      <c r="AD9" s="68"/>
    </row>
    <row r="10" spans="1:30" ht="42" customHeight="1" x14ac:dyDescent="0.25">
      <c r="A10" s="102" t="s">
        <v>20</v>
      </c>
      <c r="B10" s="117"/>
      <c r="C10" s="98" t="s">
        <v>21</v>
      </c>
      <c r="D10" s="86"/>
      <c r="E10" s="86"/>
      <c r="F10" s="86"/>
      <c r="G10" s="86"/>
      <c r="H10" s="86"/>
      <c r="I10" s="86"/>
      <c r="J10" s="87"/>
      <c r="K10" s="85" t="s">
        <v>22</v>
      </c>
      <c r="L10" s="86"/>
      <c r="M10" s="86"/>
      <c r="N10" s="87"/>
      <c r="O10" s="122" t="s">
        <v>23</v>
      </c>
      <c r="P10" s="86"/>
      <c r="Q10" s="86"/>
      <c r="R10" s="87"/>
      <c r="S10" s="36"/>
      <c r="T10" s="36"/>
      <c r="U10" s="36"/>
      <c r="V10" s="36"/>
      <c r="W10" s="62"/>
      <c r="X10" s="62"/>
      <c r="Y10" s="63"/>
      <c r="Z10" s="89"/>
      <c r="AA10" s="68"/>
      <c r="AB10" s="68"/>
      <c r="AC10" s="68"/>
      <c r="AD10" s="68"/>
    </row>
    <row r="11" spans="1:30" ht="42" customHeight="1" x14ac:dyDescent="0.25">
      <c r="A11" s="103"/>
      <c r="B11" s="117"/>
      <c r="C11" s="50"/>
      <c r="D11" s="9"/>
      <c r="E11" s="28"/>
      <c r="F11" s="29"/>
      <c r="G11" s="29"/>
      <c r="H11" s="9"/>
      <c r="I11" s="9"/>
      <c r="J11" s="30"/>
      <c r="K11" s="97" t="s">
        <v>24</v>
      </c>
      <c r="L11" s="95"/>
      <c r="M11" s="95"/>
      <c r="N11" s="95"/>
      <c r="O11" s="95"/>
      <c r="P11" s="95"/>
      <c r="Q11" s="95"/>
      <c r="R11" s="96"/>
      <c r="S11" s="22"/>
      <c r="T11" s="22"/>
      <c r="U11" s="22"/>
      <c r="V11" s="22"/>
      <c r="W11" s="31"/>
      <c r="X11" s="31"/>
      <c r="Y11" s="64"/>
      <c r="Z11" s="89"/>
      <c r="AA11" s="68"/>
      <c r="AB11" s="68"/>
      <c r="AC11" s="68"/>
      <c r="AD11" s="68"/>
    </row>
    <row r="12" spans="1:30" ht="54.75" customHeight="1" x14ac:dyDescent="0.25">
      <c r="A12" s="103"/>
      <c r="B12" s="117"/>
      <c r="C12" s="50"/>
      <c r="D12" s="9"/>
      <c r="E12" s="28"/>
      <c r="F12" s="29"/>
      <c r="G12" s="29"/>
      <c r="H12" s="9"/>
      <c r="I12" s="9"/>
      <c r="J12" s="30"/>
      <c r="M12" s="9"/>
      <c r="N12" s="30"/>
      <c r="O12" s="34"/>
      <c r="P12" s="34"/>
      <c r="Q12" s="34"/>
      <c r="R12" s="51"/>
      <c r="S12" s="84" t="s">
        <v>25</v>
      </c>
      <c r="T12" s="82"/>
      <c r="U12" s="82"/>
      <c r="V12" s="83"/>
      <c r="W12" s="81" t="s">
        <v>26</v>
      </c>
      <c r="X12" s="82"/>
      <c r="Y12" s="83"/>
      <c r="Z12" s="89"/>
      <c r="AA12" s="68"/>
      <c r="AB12" s="68"/>
      <c r="AC12" s="68"/>
      <c r="AD12" s="68"/>
    </row>
    <row r="13" spans="1:30" ht="42" customHeight="1" x14ac:dyDescent="0.25">
      <c r="A13" s="92" t="s">
        <v>27</v>
      </c>
      <c r="B13" s="117"/>
      <c r="C13" s="98" t="s">
        <v>28</v>
      </c>
      <c r="D13" s="86"/>
      <c r="E13" s="86"/>
      <c r="F13" s="86"/>
      <c r="G13" s="86"/>
      <c r="H13" s="86"/>
      <c r="I13" s="86"/>
      <c r="J13" s="87"/>
      <c r="K13" s="121" t="s">
        <v>216</v>
      </c>
      <c r="L13" s="86"/>
      <c r="M13" s="86"/>
      <c r="N13" s="87"/>
      <c r="O13" s="85" t="s">
        <v>29</v>
      </c>
      <c r="P13" s="86"/>
      <c r="Q13" s="86"/>
      <c r="R13" s="87"/>
      <c r="S13" s="106" t="s">
        <v>30</v>
      </c>
      <c r="T13" s="86"/>
      <c r="U13" s="86"/>
      <c r="V13" s="87"/>
      <c r="W13" s="36"/>
      <c r="X13" s="36"/>
      <c r="Y13" s="37"/>
      <c r="Z13" s="89"/>
      <c r="AA13" s="68"/>
      <c r="AB13" s="68"/>
      <c r="AC13" s="68"/>
      <c r="AD13" s="68"/>
    </row>
    <row r="14" spans="1:30" ht="27" customHeight="1" x14ac:dyDescent="0.25">
      <c r="A14" s="93"/>
      <c r="B14" s="117"/>
      <c r="C14" s="20"/>
      <c r="D14" s="31"/>
      <c r="E14" s="57"/>
      <c r="F14" s="29"/>
      <c r="G14" s="27"/>
      <c r="H14" s="104"/>
      <c r="I14" s="105"/>
      <c r="J14" s="28"/>
      <c r="K14" s="9"/>
      <c r="L14" s="9"/>
      <c r="N14" s="30"/>
      <c r="P14" s="34"/>
      <c r="Q14" s="34"/>
      <c r="R14" s="51"/>
      <c r="S14" s="52"/>
      <c r="T14" s="34"/>
      <c r="U14" s="34"/>
      <c r="V14" s="33"/>
      <c r="W14" s="81" t="s">
        <v>19</v>
      </c>
      <c r="X14" s="82"/>
      <c r="Y14" s="83"/>
      <c r="Z14" s="89"/>
      <c r="AA14" s="68"/>
      <c r="AB14" s="68"/>
      <c r="AC14" s="68"/>
      <c r="AD14" s="68"/>
    </row>
    <row r="15" spans="1:30" ht="66" customHeight="1" x14ac:dyDescent="0.25">
      <c r="A15" s="116" t="s">
        <v>31</v>
      </c>
      <c r="B15" s="116" t="s">
        <v>32</v>
      </c>
      <c r="C15" s="98" t="s">
        <v>33</v>
      </c>
      <c r="D15" s="86"/>
      <c r="E15" s="86"/>
      <c r="F15" s="86"/>
      <c r="G15" s="86"/>
      <c r="H15" s="86"/>
      <c r="I15" s="86"/>
      <c r="J15" s="87"/>
      <c r="K15" s="85" t="s">
        <v>34</v>
      </c>
      <c r="L15" s="86"/>
      <c r="M15" s="86"/>
      <c r="N15" s="87"/>
      <c r="O15" s="85" t="s">
        <v>35</v>
      </c>
      <c r="P15" s="86"/>
      <c r="Q15" s="86"/>
      <c r="R15" s="87"/>
      <c r="S15" s="106" t="s">
        <v>36</v>
      </c>
      <c r="T15" s="86"/>
      <c r="U15" s="86"/>
      <c r="V15" s="87"/>
      <c r="W15" s="36"/>
      <c r="X15" s="36"/>
      <c r="Y15" s="37"/>
      <c r="Z15" s="89"/>
      <c r="AA15" s="68"/>
      <c r="AB15" s="68"/>
      <c r="AC15" s="68"/>
      <c r="AD15" s="68"/>
    </row>
    <row r="16" spans="1:30" ht="26.25" customHeight="1" x14ac:dyDescent="0.25">
      <c r="A16" s="117"/>
      <c r="B16" s="117"/>
      <c r="C16" s="109" t="s">
        <v>37</v>
      </c>
      <c r="D16" s="95"/>
      <c r="E16" s="95"/>
      <c r="F16" s="96"/>
      <c r="G16" s="94" t="s">
        <v>38</v>
      </c>
      <c r="H16" s="95"/>
      <c r="I16" s="95"/>
      <c r="J16" s="96"/>
      <c r="K16" s="34"/>
      <c r="L16" s="34"/>
      <c r="M16" s="9"/>
      <c r="N16" s="30"/>
      <c r="R16" s="51"/>
      <c r="S16" s="52"/>
      <c r="T16" s="34"/>
      <c r="U16" s="34"/>
      <c r="V16" s="33"/>
      <c r="Y16" s="68"/>
      <c r="Z16" s="89"/>
      <c r="AA16" s="68"/>
      <c r="AB16" s="68"/>
      <c r="AC16" s="68"/>
      <c r="AD16" s="68"/>
    </row>
    <row r="17" spans="1:30" ht="33" customHeight="1" x14ac:dyDescent="0.25">
      <c r="A17" s="117"/>
      <c r="B17" s="117"/>
      <c r="C17" s="109" t="s">
        <v>39</v>
      </c>
      <c r="D17" s="95"/>
      <c r="E17" s="95"/>
      <c r="F17" s="96"/>
      <c r="G17" s="29"/>
      <c r="H17" s="34"/>
      <c r="I17" s="34"/>
      <c r="J17" s="30"/>
      <c r="K17" s="104"/>
      <c r="L17" s="105"/>
      <c r="M17" s="105"/>
      <c r="N17" s="33"/>
      <c r="O17" s="34"/>
      <c r="P17" s="34"/>
      <c r="Q17" s="34"/>
      <c r="R17" s="51"/>
      <c r="S17" s="52"/>
      <c r="T17" s="34"/>
      <c r="U17" s="34"/>
      <c r="V17" s="33"/>
      <c r="Y17" s="68"/>
      <c r="Z17" s="89"/>
      <c r="AA17" s="68"/>
      <c r="AB17" s="68"/>
      <c r="AC17" s="68"/>
      <c r="AD17" s="68"/>
    </row>
    <row r="18" spans="1:30" ht="25.5" customHeight="1" x14ac:dyDescent="0.25">
      <c r="A18" s="118"/>
      <c r="B18" s="118"/>
      <c r="C18" s="21"/>
      <c r="D18" s="67"/>
      <c r="E18" s="53"/>
      <c r="F18" s="69"/>
      <c r="G18" s="40"/>
      <c r="H18" s="60"/>
      <c r="I18" s="60"/>
      <c r="J18" s="23"/>
      <c r="K18" s="67"/>
      <c r="L18" s="67"/>
      <c r="M18" s="67"/>
      <c r="N18" s="41"/>
      <c r="O18" s="60"/>
      <c r="P18" s="60"/>
      <c r="Q18" s="60"/>
      <c r="R18" s="65"/>
      <c r="S18" s="61"/>
      <c r="T18" s="60"/>
      <c r="U18" s="60"/>
      <c r="V18" s="41"/>
      <c r="W18" s="99" t="s">
        <v>40</v>
      </c>
      <c r="X18" s="100"/>
      <c r="Y18" s="101"/>
      <c r="Z18" s="90"/>
      <c r="AA18" s="71"/>
      <c r="AB18" s="71"/>
      <c r="AC18" s="71"/>
      <c r="AD18" s="71"/>
    </row>
    <row r="19" spans="1:30" ht="13.5" customHeight="1" x14ac:dyDescent="0.25">
      <c r="A19" s="15" t="s">
        <v>41</v>
      </c>
      <c r="B19" s="15"/>
      <c r="C19" s="58"/>
      <c r="D19" s="59"/>
      <c r="E19" s="13">
        <v>46013</v>
      </c>
      <c r="F19" s="111"/>
      <c r="G19" s="112"/>
      <c r="H19" s="60"/>
      <c r="I19" s="60"/>
      <c r="J19" s="13">
        <v>46055</v>
      </c>
      <c r="K19" s="60"/>
      <c r="L19" s="60"/>
      <c r="M19" s="24"/>
      <c r="N19" s="13">
        <v>46090</v>
      </c>
      <c r="O19" s="60"/>
      <c r="P19" s="60"/>
      <c r="Q19" s="60"/>
      <c r="R19" s="14">
        <v>46125</v>
      </c>
      <c r="S19" s="61"/>
      <c r="T19" s="60"/>
      <c r="U19" s="24"/>
      <c r="V19" s="13"/>
      <c r="W19" s="60"/>
      <c r="X19" s="60"/>
      <c r="Y19" s="60"/>
      <c r="Z19" s="78">
        <v>46158</v>
      </c>
      <c r="AA19" s="78">
        <v>46159</v>
      </c>
      <c r="AB19" s="78">
        <v>46160</v>
      </c>
      <c r="AC19" s="79">
        <v>46161</v>
      </c>
      <c r="AD19" s="80">
        <v>46162</v>
      </c>
    </row>
    <row r="20" spans="1:30" ht="26.25" customHeight="1" x14ac:dyDescent="0.25">
      <c r="A20" s="15" t="s">
        <v>42</v>
      </c>
      <c r="B20" s="15"/>
      <c r="C20" s="15"/>
      <c r="D20" s="54"/>
      <c r="E20" s="16" t="s">
        <v>43</v>
      </c>
      <c r="F20" s="107" t="s">
        <v>44</v>
      </c>
      <c r="G20" s="108"/>
      <c r="H20" s="54"/>
      <c r="I20" s="54"/>
      <c r="J20" s="16" t="s">
        <v>45</v>
      </c>
      <c r="K20" s="54"/>
      <c r="L20" s="54"/>
      <c r="M20" s="55"/>
      <c r="N20" s="16" t="s">
        <v>46</v>
      </c>
      <c r="O20" s="54"/>
      <c r="P20" s="54"/>
      <c r="Q20" s="54"/>
      <c r="R20" s="17" t="s">
        <v>47</v>
      </c>
      <c r="S20" s="56"/>
      <c r="T20" s="54"/>
      <c r="U20" s="55"/>
      <c r="V20" s="16"/>
      <c r="W20" s="54"/>
      <c r="X20" s="54"/>
      <c r="Y20" s="54"/>
      <c r="Z20" s="76" t="s">
        <v>48</v>
      </c>
      <c r="AA20" s="76" t="s">
        <v>49</v>
      </c>
      <c r="AB20" s="76" t="s">
        <v>50</v>
      </c>
      <c r="AC20" s="77" t="s">
        <v>51</v>
      </c>
      <c r="AD20" s="10" t="s">
        <v>52</v>
      </c>
    </row>
    <row r="23" spans="1:30" x14ac:dyDescent="0.25">
      <c r="B23" s="2"/>
    </row>
    <row r="63" spans="5:13" x14ac:dyDescent="0.25">
      <c r="G63" s="1"/>
      <c r="H63" s="1"/>
      <c r="I63" s="1"/>
      <c r="J63" s="1"/>
      <c r="K63" s="1"/>
      <c r="L63" s="1"/>
      <c r="M63" s="1"/>
    </row>
    <row r="64" spans="5:13" x14ac:dyDescent="0.25">
      <c r="E64" s="1"/>
      <c r="F64" s="1"/>
      <c r="I64" s="1"/>
      <c r="J64" s="1"/>
      <c r="K64" s="1"/>
      <c r="L64" s="1"/>
      <c r="M64" s="1"/>
    </row>
    <row r="65" spans="5:8" x14ac:dyDescent="0.25">
      <c r="E65" s="1"/>
      <c r="F65" s="1"/>
      <c r="G65" s="1"/>
      <c r="H65" s="1"/>
    </row>
    <row r="66" spans="5:8" x14ac:dyDescent="0.25">
      <c r="E66" s="1"/>
      <c r="F66" s="1"/>
      <c r="G66" s="1"/>
      <c r="H66" s="1"/>
    </row>
  </sheetData>
  <mergeCells count="46">
    <mergeCell ref="A15:A18"/>
    <mergeCell ref="H3:R3"/>
    <mergeCell ref="O13:R13"/>
    <mergeCell ref="O8:V8"/>
    <mergeCell ref="S15:V15"/>
    <mergeCell ref="A2:A4"/>
    <mergeCell ref="B2:B14"/>
    <mergeCell ref="B15:B18"/>
    <mergeCell ref="K13:N13"/>
    <mergeCell ref="C16:F16"/>
    <mergeCell ref="O7:R7"/>
    <mergeCell ref="O10:R10"/>
    <mergeCell ref="C13:J13"/>
    <mergeCell ref="F20:G20"/>
    <mergeCell ref="C17:F17"/>
    <mergeCell ref="K5:N5"/>
    <mergeCell ref="C2:I2"/>
    <mergeCell ref="F19:G19"/>
    <mergeCell ref="C15:J15"/>
    <mergeCell ref="C5:F5"/>
    <mergeCell ref="K15:N15"/>
    <mergeCell ref="G5:J5"/>
    <mergeCell ref="H14:I14"/>
    <mergeCell ref="M6:R6"/>
    <mergeCell ref="Z2:Z18"/>
    <mergeCell ref="O5:R5"/>
    <mergeCell ref="J2:R2"/>
    <mergeCell ref="A13:A14"/>
    <mergeCell ref="G16:J16"/>
    <mergeCell ref="K11:R11"/>
    <mergeCell ref="C10:J10"/>
    <mergeCell ref="W18:Y18"/>
    <mergeCell ref="S7:V7"/>
    <mergeCell ref="K10:N10"/>
    <mergeCell ref="A10:A12"/>
    <mergeCell ref="W12:Y12"/>
    <mergeCell ref="K17:M17"/>
    <mergeCell ref="S6:V6"/>
    <mergeCell ref="S13:V13"/>
    <mergeCell ref="A5:A9"/>
    <mergeCell ref="W9:Y9"/>
    <mergeCell ref="W14:Y14"/>
    <mergeCell ref="S12:V12"/>
    <mergeCell ref="O15:R15"/>
    <mergeCell ref="W4:Y4"/>
    <mergeCell ref="S4: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"/>
  <sheetViews>
    <sheetView showGridLines="0" workbookViewId="0"/>
  </sheetViews>
  <sheetFormatPr defaultColWidth="8.81640625" defaultRowHeight="12.5" x14ac:dyDescent="0.25"/>
  <cols>
    <col min="1" max="1" width="28" customWidth="1"/>
    <col min="2" max="2" width="85" customWidth="1"/>
    <col min="3" max="3" width="32" customWidth="1"/>
    <col min="4" max="4" width="60" customWidth="1"/>
  </cols>
  <sheetData>
    <row r="1" spans="1:4" ht="28" customHeight="1" x14ac:dyDescent="0.25">
      <c r="A1" s="123" t="s">
        <v>53</v>
      </c>
      <c r="B1" s="105"/>
      <c r="C1" s="105"/>
      <c r="D1" s="105"/>
    </row>
    <row r="3" spans="1:4" ht="14" x14ac:dyDescent="0.3">
      <c r="A3" s="128" t="s">
        <v>54</v>
      </c>
      <c r="B3" s="105"/>
      <c r="C3" s="105"/>
      <c r="D3" s="105"/>
    </row>
    <row r="4" spans="1:4" ht="13" x14ac:dyDescent="0.25">
      <c r="A4" s="72" t="s">
        <v>55</v>
      </c>
      <c r="B4" s="73" t="s">
        <v>56</v>
      </c>
    </row>
    <row r="5" spans="1:4" ht="13" x14ac:dyDescent="0.25">
      <c r="A5" s="72" t="s">
        <v>57</v>
      </c>
      <c r="B5" s="73" t="s">
        <v>58</v>
      </c>
    </row>
    <row r="6" spans="1:4" ht="13" x14ac:dyDescent="0.25">
      <c r="A6" s="72" t="s">
        <v>59</v>
      </c>
      <c r="B6" s="73" t="s">
        <v>60</v>
      </c>
    </row>
    <row r="7" spans="1:4" ht="13" x14ac:dyDescent="0.25">
      <c r="A7" s="72" t="s">
        <v>61</v>
      </c>
      <c r="B7" s="73" t="s">
        <v>62</v>
      </c>
    </row>
    <row r="9" spans="1:4" ht="14" x14ac:dyDescent="0.3">
      <c r="A9" s="128" t="s">
        <v>63</v>
      </c>
      <c r="B9" s="105"/>
      <c r="C9" s="105"/>
      <c r="D9" s="105"/>
    </row>
    <row r="10" spans="1:4" ht="42" customHeight="1" x14ac:dyDescent="0.3">
      <c r="A10" s="74" t="s">
        <v>64</v>
      </c>
      <c r="B10" s="73" t="s">
        <v>65</v>
      </c>
    </row>
    <row r="12" spans="1:4" ht="14" x14ac:dyDescent="0.3">
      <c r="A12" s="128" t="s">
        <v>66</v>
      </c>
      <c r="B12" s="105"/>
      <c r="C12" s="105"/>
      <c r="D12" s="105"/>
    </row>
    <row r="13" spans="1:4" ht="72" customHeight="1" x14ac:dyDescent="0.25">
      <c r="A13" s="72" t="s">
        <v>67</v>
      </c>
      <c r="B13" s="73" t="s">
        <v>68</v>
      </c>
    </row>
    <row r="15" spans="1:4" ht="13" x14ac:dyDescent="0.3">
      <c r="A15" s="130" t="s">
        <v>69</v>
      </c>
      <c r="B15" s="105"/>
      <c r="C15" s="105"/>
      <c r="D15" s="105"/>
    </row>
    <row r="16" spans="1:4" ht="20" customHeight="1" x14ac:dyDescent="0.25">
      <c r="A16" s="75" t="s">
        <v>70</v>
      </c>
      <c r="B16" s="75" t="s">
        <v>71</v>
      </c>
      <c r="C16" s="75" t="s">
        <v>72</v>
      </c>
    </row>
    <row r="17" spans="1:4" x14ac:dyDescent="0.25">
      <c r="A17" s="73" t="s">
        <v>73</v>
      </c>
      <c r="B17" s="73" t="s">
        <v>74</v>
      </c>
      <c r="C17" s="73" t="s">
        <v>75</v>
      </c>
    </row>
    <row r="18" spans="1:4" ht="25" x14ac:dyDescent="0.25">
      <c r="A18" s="73" t="s">
        <v>76</v>
      </c>
      <c r="B18" s="73" t="s">
        <v>77</v>
      </c>
      <c r="C18" s="73" t="s">
        <v>78</v>
      </c>
    </row>
    <row r="19" spans="1:4" ht="25" x14ac:dyDescent="0.25">
      <c r="A19" s="73" t="s">
        <v>79</v>
      </c>
      <c r="B19" s="73" t="s">
        <v>80</v>
      </c>
      <c r="C19" s="73" t="s">
        <v>81</v>
      </c>
    </row>
    <row r="20" spans="1:4" ht="25" x14ac:dyDescent="0.25">
      <c r="A20" s="73" t="s">
        <v>82</v>
      </c>
      <c r="B20" s="73" t="s">
        <v>83</v>
      </c>
      <c r="C20" s="73" t="s">
        <v>84</v>
      </c>
    </row>
    <row r="21" spans="1:4" ht="25" x14ac:dyDescent="0.25">
      <c r="A21" s="73" t="s">
        <v>85</v>
      </c>
      <c r="B21" s="73" t="s">
        <v>86</v>
      </c>
      <c r="C21" s="73" t="s">
        <v>87</v>
      </c>
    </row>
    <row r="22" spans="1:4" ht="25" x14ac:dyDescent="0.25">
      <c r="A22" s="73" t="s">
        <v>88</v>
      </c>
      <c r="B22" s="73" t="s">
        <v>89</v>
      </c>
      <c r="C22" s="73" t="s">
        <v>90</v>
      </c>
    </row>
    <row r="23" spans="1:4" ht="25" x14ac:dyDescent="0.25">
      <c r="A23" s="73" t="s">
        <v>91</v>
      </c>
      <c r="B23" s="73" t="s">
        <v>92</v>
      </c>
      <c r="C23" s="73" t="s">
        <v>93</v>
      </c>
    </row>
    <row r="24" spans="1:4" ht="25" x14ac:dyDescent="0.25">
      <c r="A24" s="73" t="s">
        <v>94</v>
      </c>
      <c r="B24" s="73" t="s">
        <v>95</v>
      </c>
      <c r="C24" s="73" t="s">
        <v>96</v>
      </c>
    </row>
    <row r="26" spans="1:4" ht="14" x14ac:dyDescent="0.3">
      <c r="A26" s="128" t="s">
        <v>97</v>
      </c>
      <c r="B26" s="105"/>
      <c r="C26" s="105"/>
      <c r="D26" s="105"/>
    </row>
    <row r="27" spans="1:4" ht="120" customHeight="1" x14ac:dyDescent="0.3">
      <c r="A27" s="74" t="s">
        <v>98</v>
      </c>
      <c r="B27" s="73" t="s">
        <v>99</v>
      </c>
    </row>
    <row r="28" spans="1:4" ht="60" customHeight="1" x14ac:dyDescent="0.3">
      <c r="A28" s="74" t="s">
        <v>100</v>
      </c>
      <c r="B28" s="73" t="s">
        <v>101</v>
      </c>
    </row>
    <row r="29" spans="1:4" ht="44" customHeight="1" x14ac:dyDescent="0.3">
      <c r="A29" s="74" t="s">
        <v>102</v>
      </c>
      <c r="B29" s="73" t="s">
        <v>103</v>
      </c>
    </row>
    <row r="31" spans="1:4" ht="14" x14ac:dyDescent="0.3">
      <c r="A31" s="128" t="s">
        <v>104</v>
      </c>
      <c r="B31" s="105"/>
      <c r="C31" s="105"/>
      <c r="D31" s="105"/>
    </row>
    <row r="32" spans="1:4" ht="13" x14ac:dyDescent="0.25">
      <c r="A32" s="75" t="s">
        <v>105</v>
      </c>
      <c r="B32" s="75" t="s">
        <v>106</v>
      </c>
      <c r="C32" s="131" t="s">
        <v>107</v>
      </c>
      <c r="D32" s="125"/>
    </row>
    <row r="33" spans="1:4" x14ac:dyDescent="0.25">
      <c r="A33" s="73" t="s">
        <v>108</v>
      </c>
      <c r="B33" s="73" t="s">
        <v>109</v>
      </c>
      <c r="C33" s="129" t="s">
        <v>110</v>
      </c>
      <c r="D33" s="125"/>
    </row>
    <row r="34" spans="1:4" ht="25" x14ac:dyDescent="0.25">
      <c r="A34" s="73" t="s">
        <v>111</v>
      </c>
      <c r="B34" s="73" t="s">
        <v>112</v>
      </c>
      <c r="C34" s="129" t="s">
        <v>110</v>
      </c>
      <c r="D34" s="125"/>
    </row>
    <row r="35" spans="1:4" x14ac:dyDescent="0.25">
      <c r="A35" s="73" t="s">
        <v>113</v>
      </c>
      <c r="B35" s="73" t="s">
        <v>114</v>
      </c>
      <c r="C35" s="129" t="s">
        <v>110</v>
      </c>
      <c r="D35" s="125"/>
    </row>
    <row r="36" spans="1:4" x14ac:dyDescent="0.25">
      <c r="A36" s="73" t="s">
        <v>115</v>
      </c>
      <c r="B36" s="73" t="s">
        <v>116</v>
      </c>
      <c r="C36" s="129" t="s">
        <v>117</v>
      </c>
      <c r="D36" s="125"/>
    </row>
    <row r="37" spans="1:4" x14ac:dyDescent="0.25">
      <c r="A37" s="73" t="s">
        <v>118</v>
      </c>
      <c r="B37" s="73" t="s">
        <v>119</v>
      </c>
      <c r="C37" s="129" t="s">
        <v>117</v>
      </c>
      <c r="D37" s="125"/>
    </row>
    <row r="40" spans="1:4" ht="14" x14ac:dyDescent="0.3">
      <c r="A40" s="128" t="s">
        <v>120</v>
      </c>
      <c r="B40" s="105"/>
      <c r="C40" s="105"/>
      <c r="D40" s="105"/>
    </row>
    <row r="41" spans="1:4" ht="13" x14ac:dyDescent="0.3">
      <c r="A41" s="130" t="s">
        <v>121</v>
      </c>
      <c r="B41" s="105"/>
      <c r="C41" s="105"/>
      <c r="D41" s="105"/>
    </row>
    <row r="42" spans="1:4" ht="13" x14ac:dyDescent="0.25">
      <c r="A42" s="75" t="s">
        <v>122</v>
      </c>
      <c r="B42" s="75" t="s">
        <v>123</v>
      </c>
      <c r="C42" s="131" t="s">
        <v>124</v>
      </c>
      <c r="D42" s="125"/>
    </row>
    <row r="43" spans="1:4" x14ac:dyDescent="0.25">
      <c r="A43" s="73" t="s">
        <v>125</v>
      </c>
      <c r="B43" s="73" t="s">
        <v>126</v>
      </c>
      <c r="C43" s="124" t="s">
        <v>127</v>
      </c>
      <c r="D43" s="125"/>
    </row>
    <row r="44" spans="1:4" x14ac:dyDescent="0.25">
      <c r="A44" s="73" t="s">
        <v>128</v>
      </c>
      <c r="B44" s="73" t="s">
        <v>129</v>
      </c>
      <c r="C44" s="124" t="s">
        <v>130</v>
      </c>
      <c r="D44" s="125"/>
    </row>
    <row r="45" spans="1:4" x14ac:dyDescent="0.25">
      <c r="A45" s="73" t="s">
        <v>131</v>
      </c>
      <c r="B45" s="73" t="s">
        <v>132</v>
      </c>
      <c r="C45" s="124" t="s">
        <v>133</v>
      </c>
      <c r="D45" s="125"/>
    </row>
    <row r="46" spans="1:4" x14ac:dyDescent="0.25">
      <c r="A46" s="73" t="s">
        <v>134</v>
      </c>
      <c r="B46" s="73" t="s">
        <v>135</v>
      </c>
      <c r="C46" s="124" t="s">
        <v>136</v>
      </c>
      <c r="D46" s="125"/>
    </row>
    <row r="47" spans="1:4" x14ac:dyDescent="0.25">
      <c r="A47" s="73" t="s">
        <v>137</v>
      </c>
      <c r="B47" s="73" t="s">
        <v>138</v>
      </c>
      <c r="C47" s="124" t="s">
        <v>139</v>
      </c>
      <c r="D47" s="125"/>
    </row>
    <row r="48" spans="1:4" x14ac:dyDescent="0.25">
      <c r="A48" s="73" t="s">
        <v>140</v>
      </c>
      <c r="B48" s="73" t="s">
        <v>141</v>
      </c>
      <c r="C48" s="124" t="s">
        <v>142</v>
      </c>
      <c r="D48" s="125"/>
    </row>
    <row r="49" spans="1:4" x14ac:dyDescent="0.25">
      <c r="A49" s="73" t="s">
        <v>143</v>
      </c>
      <c r="B49" s="73" t="s">
        <v>144</v>
      </c>
      <c r="C49" s="124" t="s">
        <v>145</v>
      </c>
      <c r="D49" s="125"/>
    </row>
    <row r="50" spans="1:4" x14ac:dyDescent="0.25">
      <c r="A50" s="73" t="s">
        <v>146</v>
      </c>
      <c r="B50" s="73" t="s">
        <v>147</v>
      </c>
      <c r="C50" s="124" t="s">
        <v>148</v>
      </c>
      <c r="D50" s="125"/>
    </row>
    <row r="52" spans="1:4" ht="13" x14ac:dyDescent="0.3">
      <c r="A52" s="130" t="s">
        <v>149</v>
      </c>
      <c r="B52" s="105"/>
      <c r="C52" s="105"/>
      <c r="D52" s="105"/>
    </row>
    <row r="53" spans="1:4" ht="13" x14ac:dyDescent="0.25">
      <c r="A53" s="75" t="s">
        <v>122</v>
      </c>
      <c r="B53" s="75" t="s">
        <v>123</v>
      </c>
      <c r="C53" s="131" t="s">
        <v>124</v>
      </c>
      <c r="D53" s="125"/>
    </row>
    <row r="54" spans="1:4" x14ac:dyDescent="0.25">
      <c r="A54" s="73" t="s">
        <v>150</v>
      </c>
      <c r="B54" s="73" t="s">
        <v>151</v>
      </c>
      <c r="C54" s="124" t="s">
        <v>152</v>
      </c>
      <c r="D54" s="125"/>
    </row>
    <row r="55" spans="1:4" x14ac:dyDescent="0.25">
      <c r="A55" s="73" t="s">
        <v>153</v>
      </c>
      <c r="B55" s="73" t="s">
        <v>154</v>
      </c>
      <c r="C55" s="124" t="s">
        <v>155</v>
      </c>
      <c r="D55" s="125"/>
    </row>
    <row r="56" spans="1:4" x14ac:dyDescent="0.25">
      <c r="A56" s="73" t="s">
        <v>156</v>
      </c>
      <c r="B56" s="73" t="s">
        <v>157</v>
      </c>
      <c r="C56" s="124" t="s">
        <v>158</v>
      </c>
      <c r="D56" s="125"/>
    </row>
    <row r="57" spans="1:4" x14ac:dyDescent="0.25">
      <c r="A57" s="73" t="s">
        <v>159</v>
      </c>
      <c r="B57" s="73" t="s">
        <v>160</v>
      </c>
      <c r="C57" s="124" t="s">
        <v>161</v>
      </c>
      <c r="D57" s="125"/>
    </row>
    <row r="59" spans="1:4" ht="13" x14ac:dyDescent="0.3">
      <c r="A59" s="130" t="s">
        <v>162</v>
      </c>
      <c r="B59" s="105"/>
      <c r="C59" s="105"/>
      <c r="D59" s="105"/>
    </row>
    <row r="60" spans="1:4" ht="24" customHeight="1" x14ac:dyDescent="0.3">
      <c r="A60" s="74" t="s">
        <v>163</v>
      </c>
      <c r="B60" s="124" t="s">
        <v>164</v>
      </c>
      <c r="C60" s="127"/>
      <c r="D60" s="125"/>
    </row>
    <row r="61" spans="1:4" ht="24" customHeight="1" x14ac:dyDescent="0.3">
      <c r="A61" s="74" t="s">
        <v>165</v>
      </c>
      <c r="B61" s="124" t="s">
        <v>166</v>
      </c>
      <c r="C61" s="127"/>
      <c r="D61" s="125"/>
    </row>
    <row r="63" spans="1:4" ht="14" x14ac:dyDescent="0.3">
      <c r="A63" s="128" t="s">
        <v>167</v>
      </c>
      <c r="B63" s="105"/>
      <c r="C63" s="105"/>
      <c r="D63" s="105"/>
    </row>
    <row r="64" spans="1:4" ht="13" x14ac:dyDescent="0.3">
      <c r="A64" s="130" t="s">
        <v>168</v>
      </c>
      <c r="B64" s="105"/>
      <c r="C64" s="105"/>
      <c r="D64" s="105"/>
    </row>
    <row r="65" spans="1:4" ht="13" x14ac:dyDescent="0.25">
      <c r="A65" s="75" t="s">
        <v>169</v>
      </c>
      <c r="B65" s="75" t="s">
        <v>170</v>
      </c>
      <c r="C65" s="131" t="s">
        <v>171</v>
      </c>
      <c r="D65" s="125"/>
    </row>
    <row r="66" spans="1:4" x14ac:dyDescent="0.25">
      <c r="A66" s="73" t="s">
        <v>172</v>
      </c>
      <c r="B66" s="73" t="s">
        <v>173</v>
      </c>
      <c r="C66" s="124" t="s">
        <v>174</v>
      </c>
      <c r="D66" s="125"/>
    </row>
    <row r="67" spans="1:4" x14ac:dyDescent="0.25">
      <c r="A67" s="73" t="s">
        <v>175</v>
      </c>
      <c r="B67" s="73" t="s">
        <v>176</v>
      </c>
      <c r="C67" s="124" t="s">
        <v>177</v>
      </c>
      <c r="D67" s="125"/>
    </row>
    <row r="68" spans="1:4" x14ac:dyDescent="0.25">
      <c r="A68" s="73" t="s">
        <v>178</v>
      </c>
      <c r="B68" s="73" t="s">
        <v>179</v>
      </c>
      <c r="C68" s="124" t="s">
        <v>180</v>
      </c>
      <c r="D68" s="125"/>
    </row>
    <row r="69" spans="1:4" x14ac:dyDescent="0.25">
      <c r="A69" s="73" t="s">
        <v>181</v>
      </c>
      <c r="B69" s="73" t="s">
        <v>182</v>
      </c>
      <c r="C69" s="124" t="s">
        <v>183</v>
      </c>
      <c r="D69" s="125"/>
    </row>
    <row r="71" spans="1:4" ht="13" x14ac:dyDescent="0.3">
      <c r="A71" s="130" t="s">
        <v>184</v>
      </c>
      <c r="B71" s="105"/>
      <c r="C71" s="105"/>
      <c r="D71" s="105"/>
    </row>
    <row r="72" spans="1:4" ht="13" x14ac:dyDescent="0.25">
      <c r="A72" s="75" t="s">
        <v>169</v>
      </c>
      <c r="B72" s="75" t="s">
        <v>170</v>
      </c>
      <c r="C72" s="131" t="s">
        <v>171</v>
      </c>
      <c r="D72" s="125"/>
    </row>
    <row r="73" spans="1:4" x14ac:dyDescent="0.25">
      <c r="A73" s="73" t="s">
        <v>185</v>
      </c>
      <c r="B73" s="73" t="s">
        <v>186</v>
      </c>
      <c r="C73" s="124" t="s">
        <v>187</v>
      </c>
      <c r="D73" s="125"/>
    </row>
    <row r="74" spans="1:4" x14ac:dyDescent="0.25">
      <c r="A74" s="73" t="s">
        <v>188</v>
      </c>
      <c r="B74" s="73" t="s">
        <v>189</v>
      </c>
      <c r="C74" s="124" t="s">
        <v>190</v>
      </c>
      <c r="D74" s="125"/>
    </row>
    <row r="75" spans="1:4" x14ac:dyDescent="0.25">
      <c r="A75" s="73" t="s">
        <v>191</v>
      </c>
      <c r="B75" s="73" t="s">
        <v>192</v>
      </c>
      <c r="C75" s="124" t="s">
        <v>193</v>
      </c>
      <c r="D75" s="125"/>
    </row>
    <row r="78" spans="1:4" ht="14" x14ac:dyDescent="0.3">
      <c r="A78" s="128" t="s">
        <v>194</v>
      </c>
      <c r="B78" s="105"/>
      <c r="C78" s="105"/>
      <c r="D78" s="105"/>
    </row>
    <row r="79" spans="1:4" ht="34" customHeight="1" x14ac:dyDescent="0.25">
      <c r="A79" s="72" t="s">
        <v>195</v>
      </c>
      <c r="B79" s="73" t="s">
        <v>196</v>
      </c>
    </row>
    <row r="80" spans="1:4" ht="34" customHeight="1" x14ac:dyDescent="0.25">
      <c r="A80" s="72" t="s">
        <v>197</v>
      </c>
      <c r="B80" s="73" t="s">
        <v>198</v>
      </c>
    </row>
    <row r="81" spans="1:4" ht="34" customHeight="1" x14ac:dyDescent="0.25">
      <c r="A81" s="72" t="s">
        <v>199</v>
      </c>
      <c r="B81" s="73" t="s">
        <v>200</v>
      </c>
    </row>
    <row r="82" spans="1:4" ht="34" customHeight="1" x14ac:dyDescent="0.25">
      <c r="A82" s="72" t="s">
        <v>201</v>
      </c>
      <c r="B82" s="73" t="s">
        <v>202</v>
      </c>
    </row>
    <row r="84" spans="1:4" ht="14" x14ac:dyDescent="0.3">
      <c r="A84" s="128" t="s">
        <v>203</v>
      </c>
      <c r="B84" s="105"/>
      <c r="C84" s="105"/>
      <c r="D84" s="105"/>
    </row>
    <row r="85" spans="1:4" ht="150" customHeight="1" x14ac:dyDescent="0.3">
      <c r="A85" s="74" t="s">
        <v>204</v>
      </c>
      <c r="B85" s="124" t="s">
        <v>205</v>
      </c>
      <c r="C85" s="127"/>
      <c r="D85" s="125"/>
    </row>
    <row r="87" spans="1:4" ht="14" x14ac:dyDescent="0.3">
      <c r="A87" s="128" t="s">
        <v>206</v>
      </c>
      <c r="B87" s="105"/>
      <c r="C87" s="105"/>
      <c r="D87" s="105"/>
    </row>
    <row r="88" spans="1:4" ht="13" x14ac:dyDescent="0.25">
      <c r="A88" s="75" t="s">
        <v>207</v>
      </c>
      <c r="B88" s="75" t="s">
        <v>208</v>
      </c>
      <c r="C88" s="131" t="s">
        <v>209</v>
      </c>
      <c r="D88" s="125"/>
    </row>
    <row r="89" spans="1:4" x14ac:dyDescent="0.25">
      <c r="A89" s="73" t="s">
        <v>210</v>
      </c>
      <c r="B89" s="73" t="s">
        <v>211</v>
      </c>
      <c r="C89" s="126" t="s">
        <v>212</v>
      </c>
      <c r="D89" s="125"/>
    </row>
    <row r="90" spans="1:4" x14ac:dyDescent="0.25">
      <c r="A90" s="73" t="s">
        <v>210</v>
      </c>
      <c r="B90" s="73" t="s">
        <v>213</v>
      </c>
      <c r="C90" s="126" t="s">
        <v>212</v>
      </c>
      <c r="D90" s="125"/>
    </row>
    <row r="91" spans="1:4" x14ac:dyDescent="0.25">
      <c r="A91" s="73" t="s">
        <v>210</v>
      </c>
      <c r="B91" s="73" t="s">
        <v>214</v>
      </c>
      <c r="C91" s="126" t="s">
        <v>212</v>
      </c>
      <c r="D91" s="125"/>
    </row>
    <row r="92" spans="1:4" x14ac:dyDescent="0.25">
      <c r="A92" s="73" t="s">
        <v>210</v>
      </c>
      <c r="B92" s="73" t="s">
        <v>215</v>
      </c>
      <c r="C92" s="126" t="s">
        <v>212</v>
      </c>
      <c r="D92" s="125"/>
    </row>
  </sheetData>
  <mergeCells count="54">
    <mergeCell ref="C34:D34"/>
    <mergeCell ref="C92:D92"/>
    <mergeCell ref="B60:D60"/>
    <mergeCell ref="C68:D68"/>
    <mergeCell ref="B61:D61"/>
    <mergeCell ref="C91:D91"/>
    <mergeCell ref="C33:D33"/>
    <mergeCell ref="C42:D42"/>
    <mergeCell ref="A52:D52"/>
    <mergeCell ref="C45:D45"/>
    <mergeCell ref="C89:D89"/>
    <mergeCell ref="C74:D74"/>
    <mergeCell ref="A63:D63"/>
    <mergeCell ref="C88:D88"/>
    <mergeCell ref="C35:D35"/>
    <mergeCell ref="C73:D73"/>
    <mergeCell ref="A40:D40"/>
    <mergeCell ref="C75:D75"/>
    <mergeCell ref="C66:D66"/>
    <mergeCell ref="A71:D71"/>
    <mergeCell ref="C69:D69"/>
    <mergeCell ref="C49:D49"/>
    <mergeCell ref="A9:D9"/>
    <mergeCell ref="A31:D31"/>
    <mergeCell ref="C47:D47"/>
    <mergeCell ref="C54:D54"/>
    <mergeCell ref="C65:D65"/>
    <mergeCell ref="C55:D55"/>
    <mergeCell ref="A15:D15"/>
    <mergeCell ref="C50:D50"/>
    <mergeCell ref="C44:D44"/>
    <mergeCell ref="A59:D59"/>
    <mergeCell ref="A64:D64"/>
    <mergeCell ref="C56:D56"/>
    <mergeCell ref="A26:D26"/>
    <mergeCell ref="C37:D37"/>
    <mergeCell ref="C57:D57"/>
    <mergeCell ref="C53:D53"/>
    <mergeCell ref="A1:D1"/>
    <mergeCell ref="C43:D43"/>
    <mergeCell ref="C46:D46"/>
    <mergeCell ref="C90:D90"/>
    <mergeCell ref="B85:D85"/>
    <mergeCell ref="A78:D78"/>
    <mergeCell ref="C36:D36"/>
    <mergeCell ref="A87:D87"/>
    <mergeCell ref="A41:D41"/>
    <mergeCell ref="C48:D48"/>
    <mergeCell ref="A84:D84"/>
    <mergeCell ref="C32:D32"/>
    <mergeCell ref="C72:D72"/>
    <mergeCell ref="C67:D67"/>
    <mergeCell ref="A12:D1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Time_table</vt:lpstr>
      <vt:lpstr>Plan_Details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Guzzo</cp:lastModifiedBy>
  <dcterms:created xsi:type="dcterms:W3CDTF">2026-03-09T05:33:20Z</dcterms:created>
  <dcterms:modified xsi:type="dcterms:W3CDTF">2026-03-09T05:38:58Z</dcterms:modified>
</cp:coreProperties>
</file>